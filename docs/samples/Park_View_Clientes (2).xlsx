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de Clientes" sheetId="1" state="visible" r:id="rId3"/>
    <sheet name="Corret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<sst xmlns="http://schemas.openxmlformats.org/spreadsheetml/2006/main" count="95" uniqueCount="78">
  <si>
    <t xml:space="preserve">GRUPO HAJA CONSTRUTORA — CONTROLE DE VENDAS / PARK VIEW RESIDENCIAL</t>
  </si>
  <si>
    <t xml:space="preserve">Planilha Modelo — Banco de Dados de Clientes e Pagamentos</t>
  </si>
  <si>
    <t xml:space="preserve">Nome do Cliente</t>
  </si>
  <si>
    <t xml:space="preserve">Contato do Cliente</t>
  </si>
  <si>
    <t xml:space="preserve">Empreendimento</t>
  </si>
  <si>
    <t xml:space="preserve">Unidade</t>
  </si>
  <si>
    <t xml:space="preserve">Valor Total da Venda (R$)</t>
  </si>
  <si>
    <t xml:space="preserve">Valor de Entrada (R$)</t>
  </si>
  <si>
    <t xml:space="preserve">Data Pagamento Entrada</t>
  </si>
  <si>
    <t xml:space="preserve">Valor da Parcela (R$)</t>
  </si>
  <si>
    <t xml:space="preserve">Dia Fixo Vencimento Parcela</t>
  </si>
  <si>
    <t xml:space="preserve">Qtd. Parcelas Total</t>
  </si>
  <si>
    <t xml:space="preserve">Parcelas Pagas</t>
  </si>
  <si>
    <t xml:space="preserve">Valor do Balão/Reforço (R$)</t>
  </si>
  <si>
    <t xml:space="preserve">Qtd. Balões/Reforços</t>
  </si>
  <si>
    <t xml:space="preserve">Datas Previstas Balões/Reforços</t>
  </si>
  <si>
    <t xml:space="preserve">Valor Pago Atual (R$)</t>
  </si>
  <si>
    <t xml:space="preserve">Saldo Devedor Atual (R$)</t>
  </si>
  <si>
    <t xml:space="preserve">Observações</t>
  </si>
  <si>
    <t xml:space="preserve">Corretor Responsável</t>
  </si>
  <si>
    <t xml:space="preserve">CRECI do Corretor</t>
  </si>
  <si>
    <t xml:space="preserve">Ana Paula Ferreira</t>
  </si>
  <si>
    <t xml:space="preserve">(47) 99871-3345</t>
  </si>
  <si>
    <t xml:space="preserve">Park View Residencial</t>
  </si>
  <si>
    <t xml:space="preserve">Apto 5 - 12º Piso</t>
  </si>
  <si>
    <t xml:space="preserve">Todo dia 10</t>
  </si>
  <si>
    <t xml:space="preserve">10/02/2027 | 10/02/2029</t>
  </si>
  <si>
    <t xml:space="preserve">Financiamento CAIXA aprovado</t>
  </si>
  <si>
    <t xml:space="preserve">João Silva</t>
  </si>
  <si>
    <t xml:space="preserve">CRECI-SC 012345</t>
  </si>
  <si>
    <t xml:space="preserve">Ricardo Mendes Souza</t>
  </si>
  <si>
    <t xml:space="preserve">(47) 98765-1122</t>
  </si>
  <si>
    <t xml:space="preserve">Apto 2 - 10º Piso</t>
  </si>
  <si>
    <t xml:space="preserve">Todo dia 20</t>
  </si>
  <si>
    <t xml:space="preserve">20/01/2026 | 20/01/2027 | 20/01/2028</t>
  </si>
  <si>
    <t xml:space="preserve">Permuta parcial com imóvel avaliado em R$80.000</t>
  </si>
  <si>
    <t xml:space="preserve">Carla Beatriz Lima</t>
  </si>
  <si>
    <t xml:space="preserve">(47) 99634-5500</t>
  </si>
  <si>
    <t xml:space="preserve">Apto 1 - 14º Piso</t>
  </si>
  <si>
    <t xml:space="preserve">Todo dia 5</t>
  </si>
  <si>
    <t xml:space="preserve">05/03/2027 | 05/03/2029</t>
  </si>
  <si>
    <t xml:space="preserve">À vista na entrega das chaves — saldo residual</t>
  </si>
  <si>
    <t xml:space="preserve">Maria Costa</t>
  </si>
  <si>
    <t xml:space="preserve">CRECI-SC 067890</t>
  </si>
  <si>
    <t xml:space="preserve">Marcos Vinicius Oliveira</t>
  </si>
  <si>
    <t xml:space="preserve">(47) 98211-7788</t>
  </si>
  <si>
    <t xml:space="preserve">Apto 6 - 25º Piso</t>
  </si>
  <si>
    <t xml:space="preserve">Todo dia 15</t>
  </si>
  <si>
    <t xml:space="preserve">15/04/2027 | 15/04/2029</t>
  </si>
  <si>
    <t xml:space="preserve">Corretor: João Silva</t>
  </si>
  <si>
    <t xml:space="preserve">Fernanda Cristina Koch</t>
  </si>
  <si>
    <t xml:space="preserve">(47) 99123-4456</t>
  </si>
  <si>
    <t xml:space="preserve">Apto 6 - 29º Piso (Duplex)</t>
  </si>
  <si>
    <t xml:space="preserve">Todo dia 8</t>
  </si>
  <si>
    <t xml:space="preserve">08/01/2026 | 08/07/2027 | 08/01/2029</t>
  </si>
  <si>
    <t xml:space="preserve">Corretor: Maria Costa — maior unidade do empreendimento</t>
  </si>
  <si>
    <t xml:space="preserve">TOTAIS</t>
  </si>
  <si>
    <t xml:space="preserve">LEGENDA:   🟢 Valor Pago Atual (calculado automaticamente: entrada + parcelas pagas)   |   🔴 Saldo Devedor (calculado automaticamente: valor total - pago atual)   |   Datas de balões separadas por ' | '</t>
  </si>
  <si>
    <t xml:space="preserve">GRUPO HAJA — CORRETORES PARCEIROS (PROGRAMA DE PONTOS)</t>
  </si>
  <si>
    <t xml:space="preserve">Cadastro de corretores vinculados ao app de bonificação</t>
  </si>
  <si>
    <t xml:space="preserve">Nome do Corretor</t>
  </si>
  <si>
    <t xml:space="preserve">Usuário no App</t>
  </si>
  <si>
    <t xml:space="preserve">CRECI</t>
  </si>
  <si>
    <t xml:space="preserve">Contato</t>
  </si>
  <si>
    <t xml:space="preserve">Status</t>
  </si>
  <si>
    <t xml:space="preserve">joao</t>
  </si>
  <si>
    <t xml:space="preserve">(47) 99111-2222</t>
  </si>
  <si>
    <t xml:space="preserve">Ativo</t>
  </si>
  <si>
    <t xml:space="preserve">3 vendas no Park View</t>
  </si>
  <si>
    <t xml:space="preserve">maria</t>
  </si>
  <si>
    <t xml:space="preserve">(47) 99333-4444</t>
  </si>
  <si>
    <t xml:space="preserve">2 vendas no Park View</t>
  </si>
  <si>
    <t xml:space="preserve">Pedro Alves</t>
  </si>
  <si>
    <t xml:space="preserve">pedro</t>
  </si>
  <si>
    <t xml:space="preserve">CRECI-SC 054321</t>
  </si>
  <si>
    <t xml:space="preserve">(47) 99555-6666</t>
  </si>
  <si>
    <t xml:space="preserve">Sem vendas registradas</t>
  </si>
  <si>
    <t xml:space="preserve">IMPORTANTE: O campo 'Usuário no App' deve ser idêntico ao login cadastrado no sistema de bonificação Grupo Haja.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</si>
</sst>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dd/mm/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1A6B1A"/>
      <name val="Arial"/>
      <family val="0"/>
      <charset val="1"/>
    </font>
    <font>
      <b val="true"/>
      <sz val="10"/>
      <color rgb="FFA32D2D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sz val="10"/>
      <color rgb="FF5F5E5A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F6E56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C8B99A"/>
        <bgColor rgb="FFCCCCCC"/>
      </patternFill>
    </fill>
    <fill>
      <patternFill patternType="solid">
        <fgColor rgb="FF3D3530"/>
        <bgColor rgb="FF1A1A1A"/>
      </patternFill>
    </fill>
    <fill>
      <patternFill patternType="solid">
        <fgColor rgb="FFF8F6F3"/>
        <bgColor rgb="FFF5EFE6"/>
      </patternFill>
    </fill>
    <fill>
      <patternFill patternType="solid">
        <fgColor rgb="FFE8F5E9"/>
        <bgColor rgb="FFE1F5EE"/>
      </patternFill>
    </fill>
    <fill>
      <patternFill patternType="solid">
        <fgColor rgb="FFFFEBEE"/>
        <bgColor rgb="FFF5EFE6"/>
      </patternFill>
    </fill>
    <fill>
      <patternFill patternType="solid">
        <fgColor rgb="FFE6F1FB"/>
        <bgColor rgb="FFE1F5EE"/>
      </patternFill>
    </fill>
    <fill>
      <patternFill patternType="solid">
        <fgColor rgb="FFFFFFFF"/>
        <bgColor rgb="FFF8F6F3"/>
      </patternFill>
    </fill>
    <fill>
      <patternFill patternType="solid">
        <fgColor rgb="FFF5EFE6"/>
        <bgColor rgb="FFFFEBEE"/>
      </patternFill>
    </fill>
    <fill>
      <patternFill patternType="solid">
        <fgColor rgb="FFE1F5EE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1A"/>
      <rgbColor rgb="FF000080"/>
      <rgbColor rgb="FF808000"/>
      <rgbColor rgb="FF800080"/>
      <rgbColor rgb="FF0F6E56"/>
      <rgbColor rgb="FFCCCCCC"/>
      <rgbColor rgb="FF808080"/>
      <rgbColor rgb="FF9999FF"/>
      <rgbColor rgb="FF993366"/>
      <rgbColor rgb="FFF8F6F3"/>
      <rgbColor rgb="FFE1F5EE"/>
      <rgbColor rgb="FF660066"/>
      <rgbColor rgb="FFFF8080"/>
      <rgbColor rgb="FF185FA5"/>
      <rgbColor rgb="FFFFEB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8F5E9"/>
      <rgbColor rgb="FFF5EFE6"/>
      <rgbColor rgb="FF99CCFF"/>
      <rgbColor rgb="FFFF99CC"/>
      <rgbColor rgb="FFCC99FF"/>
      <rgbColor rgb="FFC8B99A"/>
      <rgbColor rgb="FF3366FF"/>
      <rgbColor rgb="FF33CCCC"/>
      <rgbColor rgb="FF99CC00"/>
      <rgbColor rgb="FFFFCC00"/>
      <rgbColor rgb="FFFF9900"/>
      <rgbColor rgb="FFFF6600"/>
      <rgbColor rgb="FF5F5E5A"/>
      <rgbColor rgb="FF999999"/>
      <rgbColor rgb="FF003366"/>
      <rgbColor rgb="FF339966"/>
      <rgbColor rgb="FF003300"/>
      <rgbColor rgb="FF1A1A1A"/>
      <rgbColor rgb="FFA32D2D"/>
      <rgbColor rgb="FF993366"/>
      <rgbColor rgb="FF333399"/>
      <rgbColor rgb="FF3D3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26"/>
    <col collapsed="false" customWidth="true" hidden="false" outlineLevel="0" max="7" min="6" style="1" width="24"/>
    <col collapsed="false" customWidth="true" hidden="false" outlineLevel="0" max="8" min="8" style="1" width="22"/>
    <col collapsed="false" customWidth="true" hidden="false" outlineLevel="0" max="9" min="9" style="1" width="24"/>
    <col collapsed="false" customWidth="true" hidden="false" outlineLevel="0" max="10" min="10" style="1" width="18"/>
    <col collapsed="false" customWidth="true" hidden="false" outlineLevel="0" max="11" min="11" style="1" width="16"/>
    <col collapsed="false" customWidth="true" hidden="false" outlineLevel="0" max="12" min="12" style="1" width="26"/>
    <col collapsed="false" customWidth="true" hidden="false" outlineLevel="0" max="13" min="13" style="1" width="18"/>
    <col collapsed="false" customWidth="true" hidden="false" outlineLevel="0" max="14" min="14" style="1" width="40"/>
    <col collapsed="false" customWidth="true" hidden="false" outlineLevel="0" max="16" min="15" style="1" width="26"/>
    <col collapsed="false" customWidth="true" hidden="false" outlineLevel="0" max="17" min="17" style="1" width="30"/>
    <col collapsed="false" customWidth="true" hidden="false" outlineLevel="0" max="18" min="18" style="0" width="24"/>
    <col collapsed="false" customWidth="true" hidden="false" outlineLevel="0" max="19" min="19" style="0" width="2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36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</row>
    <row r="4" customFormat="false" ht="21.75" hidden="false" customHeight="true" outlineLevel="0" collapsed="false">
      <c r="A4" s="5" t="s">
        <v>21</v>
      </c>
      <c r="B4" s="6" t="s">
        <v>22</v>
      </c>
      <c r="C4" s="6" t="s">
        <v>23</v>
      </c>
      <c r="D4" s="7" t="s">
        <v>24</v>
      </c>
      <c r="E4" s="8" t="n">
        <v>980526</v>
      </c>
      <c r="F4" s="9" t="n">
        <v>196105.2</v>
      </c>
      <c r="G4" s="10" t="n">
        <v>45698</v>
      </c>
      <c r="H4" s="9" t="n">
        <v>4902.63</v>
      </c>
      <c r="I4" s="6" t="s">
        <v>25</v>
      </c>
      <c r="J4" s="6" t="n">
        <v>120</v>
      </c>
      <c r="K4" s="6" t="n">
        <v>3</v>
      </c>
      <c r="L4" s="9" t="n">
        <v>98052.6</v>
      </c>
      <c r="M4" s="6" t="n">
        <v>2</v>
      </c>
      <c r="N4" s="11" t="s">
        <v>26</v>
      </c>
      <c r="O4" s="12" t="n">
        <f aca="false">F4+(K4*H4)</f>
        <v>210813.09</v>
      </c>
      <c r="P4" s="13" t="n">
        <f aca="false">E4-O4</f>
        <v>769712.91</v>
      </c>
      <c r="Q4" s="14" t="s">
        <v>27</v>
      </c>
      <c r="R4" s="15" t="s">
        <v>28</v>
      </c>
      <c r="S4" s="16" t="s">
        <v>29</v>
      </c>
    </row>
    <row r="5" customFormat="false" ht="21.75" hidden="false" customHeight="true" outlineLevel="0" collapsed="false">
      <c r="A5" s="17" t="s">
        <v>30</v>
      </c>
      <c r="B5" s="18" t="s">
        <v>31</v>
      </c>
      <c r="C5" s="18" t="s">
        <v>23</v>
      </c>
      <c r="D5" s="19" t="s">
        <v>32</v>
      </c>
      <c r="E5" s="20" t="n">
        <v>988357.1</v>
      </c>
      <c r="F5" s="21" t="n">
        <v>148253.57</v>
      </c>
      <c r="G5" s="22" t="n">
        <v>45677</v>
      </c>
      <c r="H5" s="21" t="n">
        <v>5775</v>
      </c>
      <c r="I5" s="18" t="s">
        <v>33</v>
      </c>
      <c r="J5" s="18" t="n">
        <v>120</v>
      </c>
      <c r="K5" s="18" t="n">
        <v>4</v>
      </c>
      <c r="L5" s="21" t="n">
        <v>100000</v>
      </c>
      <c r="M5" s="18" t="n">
        <v>3</v>
      </c>
      <c r="N5" s="23" t="s">
        <v>34</v>
      </c>
      <c r="O5" s="12" t="n">
        <f aca="false">F5+(K5*H5)</f>
        <v>171353.57</v>
      </c>
      <c r="P5" s="13" t="n">
        <f aca="false">E5-O5</f>
        <v>817003.53</v>
      </c>
      <c r="Q5" s="24" t="s">
        <v>35</v>
      </c>
      <c r="R5" s="15" t="s">
        <v>28</v>
      </c>
      <c r="S5" s="25" t="s">
        <v>29</v>
      </c>
    </row>
    <row r="6" customFormat="false" ht="21.75" hidden="false" customHeight="true" outlineLevel="0" collapsed="false">
      <c r="A6" s="5" t="s">
        <v>36</v>
      </c>
      <c r="B6" s="6" t="s">
        <v>37</v>
      </c>
      <c r="C6" s="6" t="s">
        <v>23</v>
      </c>
      <c r="D6" s="7" t="s">
        <v>38</v>
      </c>
      <c r="E6" s="8" t="n">
        <v>1050000</v>
      </c>
      <c r="F6" s="9" t="n">
        <v>210000</v>
      </c>
      <c r="G6" s="10" t="n">
        <v>45721</v>
      </c>
      <c r="H6" s="9" t="n">
        <v>5833.33</v>
      </c>
      <c r="I6" s="6" t="s">
        <v>39</v>
      </c>
      <c r="J6" s="6" t="n">
        <v>120</v>
      </c>
      <c r="K6" s="6" t="n">
        <v>2</v>
      </c>
      <c r="L6" s="9" t="n">
        <v>105000</v>
      </c>
      <c r="M6" s="6" t="n">
        <v>2</v>
      </c>
      <c r="N6" s="11" t="s">
        <v>40</v>
      </c>
      <c r="O6" s="12" t="n">
        <f aca="false">F6+(K6*H6)</f>
        <v>221666.66</v>
      </c>
      <c r="P6" s="13" t="n">
        <f aca="false">E6-O6</f>
        <v>828333.34</v>
      </c>
      <c r="Q6" s="14" t="s">
        <v>41</v>
      </c>
      <c r="R6" s="15" t="s">
        <v>42</v>
      </c>
      <c r="S6" s="16" t="s">
        <v>43</v>
      </c>
    </row>
    <row r="7" customFormat="false" ht="21.75" hidden="false" customHeight="true" outlineLevel="0" collapsed="false">
      <c r="A7" s="17" t="s">
        <v>44</v>
      </c>
      <c r="B7" s="18" t="s">
        <v>45</v>
      </c>
      <c r="C7" s="18" t="s">
        <v>23</v>
      </c>
      <c r="D7" s="19" t="s">
        <v>46</v>
      </c>
      <c r="E7" s="20" t="n">
        <v>1225924</v>
      </c>
      <c r="F7" s="21" t="n">
        <v>245184.8</v>
      </c>
      <c r="G7" s="22" t="n">
        <v>45762</v>
      </c>
      <c r="H7" s="21" t="n">
        <v>6539.73</v>
      </c>
      <c r="I7" s="18" t="s">
        <v>47</v>
      </c>
      <c r="J7" s="18" t="n">
        <v>120</v>
      </c>
      <c r="K7" s="18" t="n">
        <v>1</v>
      </c>
      <c r="L7" s="21" t="n">
        <v>122592.4</v>
      </c>
      <c r="M7" s="18" t="n">
        <v>2</v>
      </c>
      <c r="N7" s="23" t="s">
        <v>48</v>
      </c>
      <c r="O7" s="12" t="n">
        <f aca="false">F7+(K7*H7)</f>
        <v>251724.53</v>
      </c>
      <c r="P7" s="13" t="n">
        <f aca="false">E7-O7</f>
        <v>974199.47</v>
      </c>
      <c r="Q7" s="24" t="s">
        <v>49</v>
      </c>
      <c r="R7" s="15" t="s">
        <v>28</v>
      </c>
      <c r="S7" s="25" t="s">
        <v>29</v>
      </c>
    </row>
    <row r="8" customFormat="false" ht="21.75" hidden="false" customHeight="true" outlineLevel="0" collapsed="false">
      <c r="A8" s="5" t="s">
        <v>50</v>
      </c>
      <c r="B8" s="6" t="s">
        <v>51</v>
      </c>
      <c r="C8" s="6" t="s">
        <v>23</v>
      </c>
      <c r="D8" s="7" t="s">
        <v>52</v>
      </c>
      <c r="E8" s="8" t="n">
        <v>2379300</v>
      </c>
      <c r="F8" s="9" t="n">
        <v>475860</v>
      </c>
      <c r="G8" s="10" t="n">
        <v>45665</v>
      </c>
      <c r="H8" s="9" t="n">
        <v>15662.5</v>
      </c>
      <c r="I8" s="6" t="s">
        <v>53</v>
      </c>
      <c r="J8" s="6" t="n">
        <v>120</v>
      </c>
      <c r="K8" s="6" t="n">
        <v>4</v>
      </c>
      <c r="L8" s="9" t="n">
        <v>237930</v>
      </c>
      <c r="M8" s="6" t="n">
        <v>3</v>
      </c>
      <c r="N8" s="11" t="s">
        <v>54</v>
      </c>
      <c r="O8" s="12" t="n">
        <f aca="false">F8+(K8*H8)</f>
        <v>538510</v>
      </c>
      <c r="P8" s="13" t="n">
        <f aca="false">E8-O8</f>
        <v>1840790</v>
      </c>
      <c r="Q8" s="14" t="s">
        <v>55</v>
      </c>
      <c r="R8" s="15" t="s">
        <v>42</v>
      </c>
      <c r="S8" s="16" t="s">
        <v>43</v>
      </c>
    </row>
    <row r="9" customFormat="false" ht="25.5" hidden="false" customHeight="true" outlineLevel="0" collapsed="false">
      <c r="A9" s="26" t="s">
        <v>56</v>
      </c>
      <c r="B9" s="27"/>
      <c r="C9" s="27"/>
      <c r="D9" s="27"/>
      <c r="E9" s="28" t="n">
        <f aca="false">SUM(E4:E8)</f>
        <v>6624107.1</v>
      </c>
      <c r="F9" s="28" t="n">
        <f aca="false">SUM(F4:F8)</f>
        <v>1275403.57</v>
      </c>
      <c r="G9" s="27"/>
      <c r="H9" s="28" t="n">
        <f aca="false">SUM(H4:H8)</f>
        <v>38713.19</v>
      </c>
      <c r="I9" s="27"/>
      <c r="J9" s="27"/>
      <c r="K9" s="27"/>
      <c r="L9" s="27"/>
      <c r="M9" s="27"/>
      <c r="N9" s="27"/>
      <c r="O9" s="28" t="n">
        <f aca="false">SUM(O4:O8)</f>
        <v>1394067.85</v>
      </c>
      <c r="P9" s="28" t="n">
        <f aca="false">SUM(P4:P8)</f>
        <v>5230039.25</v>
      </c>
      <c r="Q9" s="27"/>
      <c r="R9" s="29"/>
      <c r="S9" s="29"/>
    </row>
    <row r="11" customFormat="false" ht="18" hidden="false" customHeight="true" outlineLevel="0" collapsed="false">
      <c r="A11" s="30" t="s">
        <v>57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</row>
  </sheetData>
  <mergeCells count="3">
    <mergeCell ref="A1:S1"/>
    <mergeCell ref="A2:S2"/>
    <mergeCell ref="A11:S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31" t="s">
        <v>58</v>
      </c>
      <c r="B1" s="31"/>
      <c r="C1" s="31"/>
      <c r="D1" s="31"/>
      <c r="E1" s="31"/>
      <c r="F1" s="31"/>
    </row>
    <row r="2" customFormat="false" ht="18" hidden="false" customHeight="true" outlineLevel="0" collapsed="false">
      <c r="A2" s="3" t="s">
        <v>59</v>
      </c>
      <c r="B2" s="3"/>
      <c r="C2" s="3"/>
      <c r="D2" s="3"/>
      <c r="E2" s="3"/>
      <c r="F2" s="3"/>
    </row>
    <row r="3" customFormat="false" ht="30" hidden="false" customHeight="true" outlineLevel="0" collapsed="false">
      <c r="A3" s="32" t="s">
        <v>60</v>
      </c>
      <c r="B3" s="32" t="s">
        <v>61</v>
      </c>
      <c r="C3" s="32" t="s">
        <v>62</v>
      </c>
      <c r="D3" s="32" t="s">
        <v>63</v>
      </c>
      <c r="E3" s="32" t="s">
        <v>64</v>
      </c>
      <c r="F3" s="32" t="s">
        <v>18</v>
      </c>
    </row>
    <row r="4" customFormat="false" ht="21.75" hidden="false" customHeight="true" outlineLevel="0" collapsed="false">
      <c r="A4" s="15" t="s">
        <v>28</v>
      </c>
      <c r="B4" s="33" t="s">
        <v>65</v>
      </c>
      <c r="C4" s="33" t="s">
        <v>29</v>
      </c>
      <c r="D4" s="33" t="s">
        <v>66</v>
      </c>
      <c r="E4" s="34" t="s">
        <v>67</v>
      </c>
      <c r="F4" s="33" t="s">
        <v>68</v>
      </c>
    </row>
    <row r="5" customFormat="false" ht="21.75" hidden="false" customHeight="true" outlineLevel="0" collapsed="false">
      <c r="A5" s="15" t="s">
        <v>42</v>
      </c>
      <c r="B5" s="35" t="s">
        <v>69</v>
      </c>
      <c r="C5" s="35" t="s">
        <v>43</v>
      </c>
      <c r="D5" s="35" t="s">
        <v>70</v>
      </c>
      <c r="E5" s="34" t="s">
        <v>67</v>
      </c>
      <c r="F5" s="35" t="s">
        <v>71</v>
      </c>
    </row>
    <row r="6" customFormat="false" ht="21.75" hidden="false" customHeight="true" outlineLevel="0" collapsed="false">
      <c r="A6" s="15" t="s">
        <v>72</v>
      </c>
      <c r="B6" s="33" t="s">
        <v>73</v>
      </c>
      <c r="C6" s="33" t="s">
        <v>74</v>
      </c>
      <c r="D6" s="33" t="s">
        <v>75</v>
      </c>
      <c r="E6" s="34" t="s">
        <v>67</v>
      </c>
      <c r="F6" s="33" t="s">
        <v>76</v>
      </c>
    </row>
    <row r="8" customFormat="false" ht="15.75" hidden="false" customHeight="true" outlineLevel="0" collapsed="false">
      <c r="A8" s="30" t="s">
        <v>77</v>
      </c>
      <c r="B8" s="30"/>
      <c r="C8" s="30"/>
      <c r="D8" s="30"/>
      <c r="E8" s="30"/>
      <c r="F8" s="30"/>
    </row>
  </sheetData>
  <mergeCells count="3">
    <mergeCell ref="A1:F1"/>
    <mergeCell ref="A2:F2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2026-05-11T19:28:13Z</dcterms:created>
  <dc:creator>openpyxl</dc:creator>
  <dc:description/>
  <dc:language>en-US</dc:language>
  <cp:lastModifiedBy/>
  <dcterms:modified xsi:type="dcterms:W3CDTF">2026-05-11T19:30:44Z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