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A79990E1-0AAE-40C4-8C83-5F5231398C2D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Base de Clientes" sheetId="1" r:id="rId1"/>
    <sheet name="Corretores" sheetId="2" r:id="rId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" i="1" l="1"/>
  <c r="P4" i="1" s="1"/>
</calcChain>
</file>

<file path=xl/sharedStrings.xml><?xml version="1.0" encoding="utf-8"?>
<sst xmlns="http://schemas.openxmlformats.org/spreadsheetml/2006/main" count="57" uniqueCount="52">
  <si>
    <t>GRUPO HAJA CONSTRUTORA — CONTROLE DE VENDAS / PARK VIEW RESIDENCIAL</t>
  </si>
  <si>
    <t>Planilha Modelo — Banco de Dados de Clientes e Pagamentos</t>
  </si>
  <si>
    <t>Nome do Cliente</t>
  </si>
  <si>
    <t>Contato do Cliente</t>
  </si>
  <si>
    <t>Empreendimento</t>
  </si>
  <si>
    <t>Unidade</t>
  </si>
  <si>
    <t>Valor Total da Venda (R$)</t>
  </si>
  <si>
    <t>Valor de Entrada (R$)</t>
  </si>
  <si>
    <t>Data Pagamento Entrada</t>
  </si>
  <si>
    <t>Valor da Parcela (R$)</t>
  </si>
  <si>
    <t>Dia Fixo Vencimento Parcela</t>
  </si>
  <si>
    <t>Qtd. Parcelas Total</t>
  </si>
  <si>
    <t>Parcelas Pagas</t>
  </si>
  <si>
    <t>Valor do Balão/Reforço (R$)</t>
  </si>
  <si>
    <t>Qtd. Balões/Reforços</t>
  </si>
  <si>
    <t>Datas Previstas Balões/Reforços</t>
  </si>
  <si>
    <t>Valor Pago Atual (R$)</t>
  </si>
  <si>
    <t>Saldo Devedor Atual (R$)</t>
  </si>
  <si>
    <t>Observações</t>
  </si>
  <si>
    <t>Corretor Responsável</t>
  </si>
  <si>
    <t>CRECI do Corretor</t>
  </si>
  <si>
    <t>Park View Residencial</t>
  </si>
  <si>
    <t>João Silva</t>
  </si>
  <si>
    <t>CRECI-SC 012345</t>
  </si>
  <si>
    <t>Carla Beatriz Lima</t>
  </si>
  <si>
    <t>(47) 99634-5500</t>
  </si>
  <si>
    <t>Apto 1 - 14º Piso</t>
  </si>
  <si>
    <t>Todo dia 5</t>
  </si>
  <si>
    <t>05/03/2027 | 05/03/2029</t>
  </si>
  <si>
    <t>À vista na entrega das chaves — saldo residual</t>
  </si>
  <si>
    <t>Maria Costa</t>
  </si>
  <si>
    <t>CRECI-SC 067890</t>
  </si>
  <si>
    <t>GRUPO HAJA — CORRETORES PARCEIROS (PROGRAMA DE PONTOS)</t>
  </si>
  <si>
    <t>Cadastro de corretores vinculados ao app de bonificação</t>
  </si>
  <si>
    <t>Nome do Corretor</t>
  </si>
  <si>
    <t>Usuário no App</t>
  </si>
  <si>
    <t>CRECI</t>
  </si>
  <si>
    <t>Contato</t>
  </si>
  <si>
    <t>Status</t>
  </si>
  <si>
    <t>joao</t>
  </si>
  <si>
    <t>(47) 99111-2222</t>
  </si>
  <si>
    <t>Ativo</t>
  </si>
  <si>
    <t>3 vendas no Park View</t>
  </si>
  <si>
    <t>maria</t>
  </si>
  <si>
    <t>(47) 99333-4444</t>
  </si>
  <si>
    <t>2 vendas no Park View</t>
  </si>
  <si>
    <t>Pedro Alves</t>
  </si>
  <si>
    <t>pedro</t>
  </si>
  <si>
    <t>CRECI-SC 054321</t>
  </si>
  <si>
    <t>(47) 99555-6666</t>
  </si>
  <si>
    <t>Sem vendas registradas</t>
  </si>
  <si>
    <t>IMPORTANTE: O campo 'Usuário no App' deve ser idêntico ao login cadastrado no sistema de bonificação Grupo Haja.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</si>
</sst>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10"/>
      <color rgb="FF1A1A1A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b/>
      <sz val="10"/>
      <color rgb="FF1A6B1A"/>
      <name val="Arial"/>
      <charset val="1"/>
    </font>
    <font>
      <b/>
      <sz val="10"/>
      <color rgb="FFA32D2D"/>
      <name val="Arial"/>
      <charset val="1"/>
    </font>
    <font>
      <i/>
      <sz val="10"/>
      <color rgb="FF5F5E5A"/>
      <name val="Arial"/>
      <charset val="1"/>
    </font>
    <font>
      <b/>
      <sz val="10"/>
      <color rgb="FF185FA5"/>
      <name val="Arial"/>
      <charset val="1"/>
    </font>
    <font>
      <sz val="10"/>
      <color rgb="FF5F5E5A"/>
      <name val="Arial"/>
      <charset val="1"/>
    </font>
    <font>
      <i/>
      <sz val="9"/>
      <color rgb="FF5F5E5A"/>
      <name val="Arial"/>
      <charset val="1"/>
    </font>
    <font>
      <b/>
      <sz val="12"/>
      <color rgb="FFFFFFFF"/>
      <name val="Arial"/>
      <charset val="1"/>
    </font>
    <font>
      <b/>
      <sz val="10"/>
      <color rgb="FF0F6E56"/>
      <name val="Arial"/>
      <charset val="1"/>
    </font>
    <font>
      <u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C8B99A"/>
        <bgColor rgb="FFCCCCCC"/>
      </patternFill>
    </fill>
    <fill>
      <patternFill patternType="solid">
        <fgColor rgb="FF3D3530"/>
        <bgColor rgb="FF1A1A1A"/>
      </patternFill>
    </fill>
    <fill>
      <patternFill patternType="solid">
        <fgColor rgb="FFF8F6F3"/>
        <bgColor rgb="FFF5EFE6"/>
      </patternFill>
    </fill>
    <fill>
      <patternFill patternType="solid">
        <fgColor rgb="FFE8F5E9"/>
        <bgColor rgb="FFE1F5EE"/>
      </patternFill>
    </fill>
    <fill>
      <patternFill patternType="solid">
        <fgColor rgb="FFFFEBEE"/>
        <bgColor rgb="FFF5EFE6"/>
      </patternFill>
    </fill>
    <fill>
      <patternFill patternType="solid">
        <fgColor rgb="FFE6F1FB"/>
        <bgColor rgb="FFE1F5EE"/>
      </patternFill>
    </fill>
    <fill>
      <patternFill patternType="solid">
        <fgColor rgb="FFFFFFFF"/>
        <bgColor rgb="FFF8F6F3"/>
      </patternFill>
    </fill>
    <fill>
      <patternFill patternType="solid">
        <fgColor rgb="FFE1F5EE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4" fillId="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164" fontId="8" fillId="6" borderId="1" xfId="0" applyNumberFormat="1" applyFont="1" applyFill="1" applyBorder="1" applyAlignment="1">
      <alignment vertical="center"/>
    </xf>
    <xf numFmtId="164" fontId="9" fillId="7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1A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8F6F3"/>
      <rgbColor rgb="FFE1F5EE"/>
      <rgbColor rgb="FF660066"/>
      <rgbColor rgb="FFFF8080"/>
      <rgbColor rgb="FF185FA5"/>
      <rgbColor rgb="FFFFEB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8F5E9"/>
      <rgbColor rgb="FFF5EFE6"/>
      <rgbColor rgb="FF99CCFF"/>
      <rgbColor rgb="FFFF99CC"/>
      <rgbColor rgb="FFCC99FF"/>
      <rgbColor rgb="FFC8B99A"/>
      <rgbColor rgb="FF3366FF"/>
      <rgbColor rgb="FF33CCCC"/>
      <rgbColor rgb="FF99CC00"/>
      <rgbColor rgb="FFFFCC00"/>
      <rgbColor rgb="FFFF9900"/>
      <rgbColor rgb="FFFF6600"/>
      <rgbColor rgb="FF5F5E5A"/>
      <rgbColor rgb="FF999999"/>
      <rgbColor rgb="FF003366"/>
      <rgbColor rgb="FF339966"/>
      <rgbColor rgb="FF003300"/>
      <rgbColor rgb="FF1A1A1A"/>
      <rgbColor rgb="FFA32D2D"/>
      <rgbColor rgb="FF993366"/>
      <rgbColor rgb="FF333399"/>
      <rgbColor rgb="FF3D35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defaultColWidth="8.7109375" defaultRowHeight="15" x14ac:dyDescent="0.25"/>
  <cols>
    <col min="1" max="1" width="28" style="5" customWidth="1"/>
    <col min="2" max="2" width="22" style="5" customWidth="1"/>
    <col min="3" max="3" width="26" style="5" customWidth="1"/>
    <col min="4" max="4" width="14" style="5" customWidth="1"/>
    <col min="5" max="5" width="26" style="5" customWidth="1"/>
    <col min="6" max="7" width="24" style="5" customWidth="1"/>
    <col min="8" max="8" width="22" style="5" customWidth="1"/>
    <col min="9" max="9" width="24" style="5" customWidth="1"/>
    <col min="10" max="10" width="18" style="5" customWidth="1"/>
    <col min="11" max="11" width="16" style="5" customWidth="1"/>
    <col min="12" max="12" width="26" style="5" customWidth="1"/>
    <col min="13" max="13" width="18" style="5" customWidth="1"/>
    <col min="14" max="14" width="40" style="5" customWidth="1"/>
    <col min="15" max="16" width="26" style="5" customWidth="1"/>
    <col min="17" max="17" width="30" style="5" customWidth="1"/>
    <col min="18" max="18" width="24" customWidth="1"/>
    <col min="19" max="19" width="20" customWidth="1"/>
  </cols>
  <sheetData>
    <row r="1" spans="1:19" ht="30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9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36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</row>
    <row r="4" spans="1:19" ht="21.75" customHeight="1" x14ac:dyDescent="0.25">
      <c r="A4" s="7" t="s">
        <v>24</v>
      </c>
      <c r="B4" s="8" t="s">
        <v>25</v>
      </c>
      <c r="C4" s="8" t="s">
        <v>21</v>
      </c>
      <c r="D4" s="9" t="s">
        <v>26</v>
      </c>
      <c r="E4" s="10">
        <v>1050000</v>
      </c>
      <c r="F4" s="11">
        <v>210000</v>
      </c>
      <c r="G4" s="12">
        <v>45721</v>
      </c>
      <c r="H4" s="11">
        <v>5833.33</v>
      </c>
      <c r="I4" s="8" t="s">
        <v>27</v>
      </c>
      <c r="J4" s="8">
        <v>120</v>
      </c>
      <c r="K4" s="8">
        <v>2</v>
      </c>
      <c r="L4" s="11">
        <v>105000</v>
      </c>
      <c r="M4" s="8">
        <v>2</v>
      </c>
      <c r="N4" s="13" t="s">
        <v>28</v>
      </c>
      <c r="O4" s="14">
        <f>F4+(K4*H4)</f>
        <v>221666.66</v>
      </c>
      <c r="P4" s="15">
        <f>E4-O4</f>
        <v>828333.34</v>
      </c>
      <c r="Q4" s="16" t="s">
        <v>29</v>
      </c>
      <c r="R4" s="17" t="s">
        <v>30</v>
      </c>
      <c r="S4" s="18" t="s">
        <v>31</v>
      </c>
    </row>
    <row r="13" spans="1:19" x14ac:dyDescent="0.25">
      <c r="B13" s="23"/>
    </row>
  </sheetData>
  <mergeCells count="2">
    <mergeCell ref="A1:S1"/>
    <mergeCell ref="A2:S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20" customWidth="1"/>
    <col min="3" max="4" width="22" customWidth="1"/>
    <col min="5" max="5" width="14" customWidth="1"/>
    <col min="6" max="6" width="30" customWidth="1"/>
  </cols>
  <sheetData>
    <row r="1" spans="1:6" ht="27.75" customHeight="1" x14ac:dyDescent="0.25">
      <c r="A1" s="1" t="s">
        <v>32</v>
      </c>
      <c r="B1" s="1"/>
      <c r="C1" s="1"/>
      <c r="D1" s="1"/>
      <c r="E1" s="1"/>
      <c r="F1" s="1"/>
    </row>
    <row r="2" spans="1:6" ht="18" customHeight="1" x14ac:dyDescent="0.25">
      <c r="A2" s="3" t="s">
        <v>33</v>
      </c>
      <c r="B2" s="3"/>
      <c r="C2" s="3"/>
      <c r="D2" s="3"/>
      <c r="E2" s="3"/>
      <c r="F2" s="3"/>
    </row>
    <row r="3" spans="1:6" ht="30" customHeight="1" x14ac:dyDescent="0.25">
      <c r="A3" s="19" t="s">
        <v>34</v>
      </c>
      <c r="B3" s="19" t="s">
        <v>35</v>
      </c>
      <c r="C3" s="19" t="s">
        <v>36</v>
      </c>
      <c r="D3" s="19" t="s">
        <v>37</v>
      </c>
      <c r="E3" s="19" t="s">
        <v>38</v>
      </c>
      <c r="F3" s="19" t="s">
        <v>18</v>
      </c>
    </row>
    <row r="4" spans="1:6" ht="21.75" customHeight="1" x14ac:dyDescent="0.25">
      <c r="A4" s="17" t="s">
        <v>22</v>
      </c>
      <c r="B4" s="20" t="s">
        <v>39</v>
      </c>
      <c r="C4" s="20" t="s">
        <v>23</v>
      </c>
      <c r="D4" s="20" t="s">
        <v>40</v>
      </c>
      <c r="E4" s="21" t="s">
        <v>41</v>
      </c>
      <c r="F4" s="20" t="s">
        <v>42</v>
      </c>
    </row>
    <row r="5" spans="1:6" ht="21.75" customHeight="1" x14ac:dyDescent="0.25">
      <c r="A5" s="17" t="s">
        <v>30</v>
      </c>
      <c r="B5" s="22" t="s">
        <v>43</v>
      </c>
      <c r="C5" s="22" t="s">
        <v>31</v>
      </c>
      <c r="D5" s="22" t="s">
        <v>44</v>
      </c>
      <c r="E5" s="21" t="s">
        <v>41</v>
      </c>
      <c r="F5" s="22" t="s">
        <v>45</v>
      </c>
    </row>
    <row r="6" spans="1:6" ht="21.75" customHeight="1" x14ac:dyDescent="0.25">
      <c r="A6" s="17" t="s">
        <v>46</v>
      </c>
      <c r="B6" s="20" t="s">
        <v>47</v>
      </c>
      <c r="C6" s="20" t="s">
        <v>48</v>
      </c>
      <c r="D6" s="20" t="s">
        <v>49</v>
      </c>
      <c r="E6" s="21" t="s">
        <v>41</v>
      </c>
      <c r="F6" s="20" t="s">
        <v>50</v>
      </c>
    </row>
    <row r="8" spans="1:6" ht="15.75" customHeight="1" x14ac:dyDescent="0.25">
      <c r="A8" s="2" t="s">
        <v>51</v>
      </c>
      <c r="B8" s="2"/>
      <c r="C8" s="2"/>
      <c r="D8" s="2"/>
      <c r="E8" s="2"/>
      <c r="F8" s="2"/>
    </row>
  </sheetData>
  <mergeCells count="3">
    <mergeCell ref="A1:F1"/>
    <mergeCell ref="A2:F2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Clientes</vt:lpstr>
      <vt:lpstr>Corretores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WIN10</cp:lastModifiedBy>
  <cp:revision>0</cp:revision>
  <dcterms:created xsi:type="dcterms:W3CDTF">2026-05-11T19:28:13Z</dcterms:created>
  <dcterms:modified xsi:type="dcterms:W3CDTF">2026-05-29T02:34:35Z</dcterms:modified>
  <dc:language>en-US</dc:language>
</cp:coreProperties>
</file>